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stockpolicy\"/>
    </mc:Choice>
  </mc:AlternateContent>
  <bookViews>
    <workbookView windowWidth="22188" windowHeight="9060"/>
  </bookViews>
  <sheets>
    <sheet name="潘总" sheetId="1" r:id="rId1"/>
    <sheet name="问答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<sst xmlns="http://schemas.openxmlformats.org/spreadsheetml/2006/main" count="116" uniqueCount="82">
  <si>
    <t>A股操盘策略</t>
  </si>
  <si>
    <t>策略加减分</t>
  </si>
  <si>
    <t>不做左侧一买，做二买三买后的未出货的回调一买
+1. 大阳线必须要要对应大红柱（相比之前一天翻倍），出现就意味着启动，后续要跟踪。
-1 大阳线不放量，控盘存疑，不干。流通盘都被恶庄掌握，容易被割。
+2. 回调的时候，要缩量（最好一半）
-2 回调的时候，不缩半量，出货嫌疑，一波收工。
+3. 超卖，价格回调1/2~1/3最好   J &lt; 13  or  D  &lt;  30
-3 打到成本了，回调太多，弃庄嫌疑。
+4. 持有时平量趋势延续，继续持有。缩量高点要减仓。
-4 上影线长的阳线放量当成平量</t>
  </si>
  <si>
    <t>心得</t>
  </si>
  <si>
    <t xml:space="preserve">策略就是利用资金动量周期来部署仓位。
牛市中1年可以分成1+3 | 2 + 6   熊市3+9
2025为例：
1月-b 2月-c 3月-d 4月-a   1+3
5/6月-b 7/8月-c 9/10月-d  11/12月-a  2+6     1-2 b 34
除了c区最高半仓。
长期配置就是为了完整的获取c区的利润，所以要分散配置仓位，东方不亮西方亮
一定的仓位，少量的股票，不停的做动量策略。
.
0AMV-入场：4%     出：2.3%  下一次：三角洲理论 宇称对称 9.28-10.12  
一般建仓黄金时间：9:33（强势） 9:37（正常）  </t>
  </si>
  <si>
    <t>策略名称</t>
  </si>
  <si>
    <t>市场</t>
  </si>
  <si>
    <t>时间周期</t>
  </si>
  <si>
    <t>核心逻辑</t>
  </si>
  <si>
    <t>选票逻辑</t>
  </si>
  <si>
    <t>买入规则</t>
  </si>
  <si>
    <t>止损规则</t>
  </si>
  <si>
    <t>离场原则</t>
  </si>
  <si>
    <t>潘总策略</t>
  </si>
  <si>
    <t>股票</t>
  </si>
  <si>
    <t>日线</t>
  </si>
  <si>
    <r>
      <rPr>
        <b/>
        <sz val="11"/>
        <color theme="1"/>
        <rFont val="宋体"/>
        <charset val="134"/>
        <scheme val="minor"/>
      </rPr>
      <t>环境：</t>
    </r>
    <r>
      <rPr>
        <sz val="11"/>
        <color theme="1"/>
        <rFont val="宋体"/>
        <charset val="134"/>
        <scheme val="minor"/>
      </rPr>
      <t xml:space="preserve">适度宽松的货币政策 + 积极进取的财政政策。
反内卷才刚开始，汇率牛市，且斜率未加速，30国债仍流出，低收益率固收得不到资金。
</t>
    </r>
    <r>
      <rPr>
        <b/>
        <sz val="11"/>
        <color theme="1"/>
        <rFont val="宋体"/>
        <charset val="134"/>
        <scheme val="minor"/>
      </rPr>
      <t>具体：</t>
    </r>
    <r>
      <rPr>
        <sz val="11"/>
        <color theme="1"/>
        <rFont val="宋体"/>
        <charset val="134"/>
        <scheme val="minor"/>
      </rPr>
      <t>以0AMV 60线为0轴，成交量在上方时交投活跃容易赚钱，下方时跌多涨少，整体亏损。
大a就是靠快涨缓跌，短时涨，长时跌，给公众交易者不断提供犯错的时间窗口做到套利的。
通常0轴以下的时间要占四分之三，0轴以上只有四分之一。</t>
    </r>
  </si>
  <si>
    <t>a. 一买：金叉后的第一个超卖信号，中等资金入场，潜伏周期中等。
b. 二买：潜伏后确认放量的阳线入场，少量资金，潜伏周期短。
c. 三买：两根线上，放量大阳线9%以上，第二天缩半量，小阳线，小资金入场。</t>
  </si>
  <si>
    <t>a. 一买止损，前期异动低点 或者 大阳线一半；上去没出卖点再下来，打到盈亏平衡点，卖掉。（没实力）
 b. 二买止损，二买确认阳线的低点；
 c. 三买止损，第二天这根的低点；</t>
  </si>
  <si>
    <r>
      <t>a. 超买后的放量大阴线  或者 不明显缩量的连续阶梯下跌；
b. 跌破短期趋势线 或 跌破长期趋势线；
c.死叉
d.9</t>
    </r>
    <r>
      <rPr>
        <sz val="11"/>
        <color rgb="FFFF0000"/>
        <rFont val="宋体"/>
        <charset val="134"/>
        <scheme val="minor"/>
      </rPr>
      <t>交易日</t>
    </r>
    <r>
      <rPr>
        <sz val="11"/>
        <color theme="1"/>
        <rFont val="宋体"/>
        <charset val="134"/>
        <scheme val="minor"/>
      </rPr>
      <t>涨幅没有到10% 15</t>
    </r>
    <r>
      <rPr>
        <sz val="11"/>
        <color rgb="FFFF0000"/>
        <rFont val="宋体"/>
        <charset val="134"/>
        <scheme val="minor"/>
      </rPr>
      <t>交易日</t>
    </r>
    <r>
      <rPr>
        <sz val="11"/>
        <color theme="1"/>
        <rFont val="宋体"/>
        <charset val="134"/>
        <scheme val="minor"/>
      </rPr>
      <t>20%清仓
e.最大持仓天数9
f.回踩不过前期涨停线一半</t>
    </r>
  </si>
  <si>
    <t>交易记录页头</t>
  </si>
  <si>
    <t xml:space="preserve"> </t>
  </si>
  <si>
    <t>日期</t>
  </si>
  <si>
    <t>代码/方向</t>
  </si>
  <si>
    <t>买入类型</t>
  </si>
  <si>
    <t>入场价</t>
  </si>
  <si>
    <t>入场时间</t>
  </si>
  <si>
    <t>加仓均价</t>
  </si>
  <si>
    <t>加仓次数</t>
  </si>
  <si>
    <t>离场价</t>
  </si>
  <si>
    <t>离场时间</t>
  </si>
  <si>
    <t>持仓天数</t>
  </si>
  <si>
    <t>买入信号</t>
  </si>
  <si>
    <t>离场信号</t>
  </si>
  <si>
    <t>盈亏%</t>
  </si>
  <si>
    <t>盈亏(币种)</t>
  </si>
  <si>
    <t>备注</t>
  </si>
  <si>
    <t>方正科技</t>
  </si>
  <si>
    <t>一买</t>
  </si>
  <si>
    <t>金叉后超卖</t>
  </si>
  <si>
    <t>跌破长期趋势线</t>
  </si>
  <si>
    <t>案例一买建仓2/3仓位</t>
  </si>
  <si>
    <t>二买</t>
  </si>
  <si>
    <t>放量确认阳线</t>
  </si>
  <si>
    <t>触及阻力位</t>
  </si>
  <si>
    <t>案例二买加仓1/3仓位</t>
  </si>
  <si>
    <t>减仓</t>
  </si>
  <si>
    <t>死叉清仓</t>
  </si>
  <si>
    <t xml:space="preserve">- </t>
  </si>
  <si>
    <t>案例：跌破长期趋势线卖出2/3</t>
  </si>
  <si>
    <t>润和</t>
  </si>
  <si>
    <t>超卖反弹</t>
  </si>
  <si>
    <t>超卖</t>
  </si>
  <si>
    <t>J&lt;13或D&lt;30</t>
  </si>
  <si>
    <t>案例：9-24后做一半仓位</t>
  </si>
  <si>
    <t>统计汇总</t>
  </si>
  <si>
    <t>总交易次数</t>
  </si>
  <si>
    <t>盈利次数</t>
  </si>
  <si>
    <t>亏损次数</t>
  </si>
  <si>
    <t>胜率</t>
  </si>
  <si>
    <t>总盈亏%</t>
  </si>
  <si>
    <t>平均盈利</t>
  </si>
  <si>
    <t>平均亏损</t>
  </si>
  <si>
    <t>盈亏比</t>
  </si>
  <si>
    <t>最大回撤</t>
  </si>
  <si>
    <t>COUNTIF(M7:M10</t>
  </si>
  <si>
    <t>&gt;0)</t>
  </si>
  <si>
    <t>&lt;0)</t>
  </si>
  <si>
    <t>&gt;0)/COUNTA(A7:A10)</t>
  </si>
  <si>
    <t>SUM(M7:M10)</t>
  </si>
  <si>
    <t>AVERAGEIF(M7:M10</t>
  </si>
  <si>
    <t>&gt;0</t>
  </si>
  <si>
    <t>M7:M10)</t>
  </si>
  <si>
    <t>&lt;0</t>
  </si>
  <si>
    <t>M7:M10)/ABS(AVERAGEIF(M7:M10</t>
  </si>
  <si>
    <t>M7:M10))</t>
  </si>
  <si>
    <t>N/A</t>
  </si>
  <si>
    <t>麦杠图</t>
  </si>
  <si>
    <t>素邦图</t>
  </si>
  <si>
    <t>少了之前那的那个折现</t>
  </si>
  <si>
    <t>筛选策略</t>
  </si>
  <si>
    <t>清仓策略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</si>
</sst>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4"/>
      <color theme="1"/>
      <name val="黑体"/>
      <charset val="134"/>
    </font>
    <font>
      <b/>
      <sz val="14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4330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16" applyNumberFormat="0" applyAlignment="0" applyProtection="0">
      <alignment vertical="center"/>
    </xf>
    <xf numFmtId="0" fontId="15" fillId="5" borderId="17" applyNumberFormat="0" applyAlignment="0" applyProtection="0">
      <alignment vertical="center"/>
    </xf>
    <xf numFmtId="0" fontId="16" fillId="5" borderId="16" applyNumberFormat="0" applyAlignment="0" applyProtection="0">
      <alignment vertical="center"/>
    </xf>
    <xf numFmtId="0" fontId="17" fillId="6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2" fillId="2" borderId="9" xfId="0" applyFon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11" xfId="0" applyFont="1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0" fillId="0" borderId="12" xfId="0" applyFont="1" applyBorder="1" applyAlignment="1">
      <alignment vertical="center" wrapText="1"/>
    </xf>
    <xf numFmtId="0" fontId="5" fillId="0" borderId="0" xfId="0" applyFont="1">
      <alignment vertical="center"/>
    </xf>
    <xf numFmtId="14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0" fontId="0" fillId="0" borderId="7" xfId="0" applyNumberFormat="1" applyBorder="1" applyAlignment="1">
      <alignment horizontal="center" vertical="center"/>
    </xf>
    <xf numFmtId="0" fontId="0" fillId="0" borderId="7" xfId="0" applyBorder="1">
      <alignment vertical="center"/>
    </xf>
    <xf numFmtId="0" fontId="5" fillId="0" borderId="7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4330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5"/>
  <sheetViews>
    <sheetView tabSelected="1" zoomScale="80" zoomScaleNormal="80" zoomScaleSheetLayoutView="60" workbookViewId="0">
      <selection activeCell="E4" sqref="E4"/>
    </sheetView>
  </sheetViews>
  <sheetFormatPr defaultColWidth="10" defaultRowHeight="14.4"/>
  <cols>
    <col min="1" max="1" width="21.5277777777778" customWidth="1"/>
    <col min="2" max="2" width="16.4444444444444" customWidth="1"/>
    <col min="3" max="3" width="12.4444444444444" customWidth="1"/>
    <col min="4" max="4" width="64.1111111111111" customWidth="1"/>
    <col min="5" max="5" width="12.4444444444444" customWidth="1"/>
    <col min="6" max="6" width="34.3333333333333" customWidth="1"/>
    <col min="7" max="7" width="37.8888888888889" customWidth="1"/>
    <col min="8" max="8" width="38.8888888888889" customWidth="1"/>
    <col min="9" max="9" width="18.6666666666667" customWidth="1"/>
    <col min="10" max="10" width="16.4444444444444" customWidth="1"/>
    <col min="11" max="11" width="14.1111111111111" customWidth="1"/>
    <col min="12" max="12" width="18.6666666666667" customWidth="1"/>
    <col min="13" max="13" width="9.22222222222222" customWidth="1"/>
    <col min="14" max="14" width="31" customWidth="1"/>
  </cols>
  <sheetData>
    <row r="1" ht="30.6" spans="1:37">
      <c r="A1" s="1" t="s">
        <v>0</v>
      </c>
      <c r="B1" s="2"/>
      <c r="C1" s="2"/>
      <c r="D1" s="2"/>
      <c r="E1" s="2"/>
      <c r="F1" s="2"/>
      <c r="G1" s="2"/>
      <c r="H1" s="3"/>
    </row>
    <row r="2" ht="157" customHeight="1" spans="1:37">
      <c r="A2" s="4" t="s">
        <v>1</v>
      </c>
      <c r="B2" s="5" t="s">
        <v>2</v>
      </c>
      <c r="C2" s="6"/>
      <c r="D2" s="6"/>
      <c r="E2" s="7" t="s">
        <v>3</v>
      </c>
      <c r="F2" s="6" t="s">
        <v>4</v>
      </c>
      <c r="G2" s="6"/>
      <c r="H2" s="8"/>
    </row>
    <row r="3" ht="20.4" spans="1:37">
      <c r="A3" s="4" t="s">
        <v>5</v>
      </c>
      <c r="B3" s="7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7" t="s">
        <v>11</v>
      </c>
      <c r="H3" s="9" t="s">
        <v>12</v>
      </c>
    </row>
    <row r="4" ht="148" customHeight="1" spans="1:37">
      <c r="A4" s="10" t="s">
        <v>13</v>
      </c>
      <c r="B4" s="11" t="s">
        <v>14</v>
      </c>
      <c r="C4" s="11" t="s">
        <v>15</v>
      </c>
      <c r="D4" s="12" t="s">
        <v>16</v>
      </c>
      <c r="E4" s="13"/>
      <c r="F4" s="14" t="s">
        <v>17</v>
      </c>
      <c r="G4" s="15" t="s">
        <v>18</v>
      </c>
      <c r="H4" s="16" t="s">
        <v>19</v>
      </c>
    </row>
    <row r="6" ht="20.4" spans="1:37">
      <c r="A6" s="7" t="s">
        <v>20</v>
      </c>
      <c r="B6" s="17" t="s">
        <v>21</v>
      </c>
      <c r="C6" s="17" t="s">
        <v>21</v>
      </c>
      <c r="D6" s="17" t="s">
        <v>21</v>
      </c>
      <c r="E6" s="17" t="s">
        <v>21</v>
      </c>
      <c r="F6" s="17" t="s">
        <v>21</v>
      </c>
      <c r="G6" s="17"/>
      <c r="H6" s="17"/>
    </row>
    <row r="7" ht="20.4" spans="1:37">
      <c r="A7" s="7" t="s">
        <v>22</v>
      </c>
      <c r="B7" s="7" t="s">
        <v>23</v>
      </c>
      <c r="C7" s="7" t="s">
        <v>24</v>
      </c>
      <c r="D7" s="7" t="s">
        <v>25</v>
      </c>
      <c r="E7" s="7" t="s">
        <v>26</v>
      </c>
      <c r="F7" s="7" t="s">
        <v>27</v>
      </c>
      <c r="G7" s="7" t="s">
        <v>28</v>
      </c>
      <c r="H7" s="7" t="s">
        <v>29</v>
      </c>
      <c r="I7" s="7" t="s">
        <v>30</v>
      </c>
      <c r="J7" s="7" t="s">
        <v>31</v>
      </c>
      <c r="K7" s="7" t="s">
        <v>32</v>
      </c>
      <c r="L7" s="7" t="s">
        <v>33</v>
      </c>
      <c r="M7" s="7" t="s">
        <v>34</v>
      </c>
      <c r="N7" s="7" t="s">
        <v>35</v>
      </c>
      <c r="O7" s="7" t="s">
        <v>36</v>
      </c>
    </row>
    <row r="8" spans="1:37">
      <c r="A8" s="18">
        <v>45466</v>
      </c>
      <c r="B8" s="19" t="s">
        <v>37</v>
      </c>
      <c r="C8" s="19" t="s">
        <v>38</v>
      </c>
      <c r="D8" s="19">
        <v>65.2</v>
      </c>
      <c r="E8" s="20">
        <v>0.399305555555556</v>
      </c>
      <c r="F8" s="19">
        <v>65.2</v>
      </c>
      <c r="G8" s="19">
        <v>1</v>
      </c>
      <c r="H8" s="19">
        <v>72.8</v>
      </c>
      <c r="I8" s="20">
        <v>0.604166666666667</v>
      </c>
      <c r="J8" s="19">
        <v>15</v>
      </c>
      <c r="K8" s="19" t="s">
        <v>39</v>
      </c>
      <c r="L8" s="21" t="s">
        <v>40</v>
      </c>
      <c r="M8" s="21">
        <v>11.54</v>
      </c>
      <c r="N8" s="21">
        <v>7.52</v>
      </c>
      <c r="O8" s="21" t="s">
        <v>41</v>
      </c>
    </row>
    <row r="9" spans="1:37">
      <c r="A9" s="18">
        <v>45471</v>
      </c>
      <c r="B9" s="19" t="s">
        <v>37</v>
      </c>
      <c r="C9" s="19" t="s">
        <v>42</v>
      </c>
      <c r="D9" s="19">
        <v>70.1</v>
      </c>
      <c r="E9" s="20">
        <v>0.427083333333333</v>
      </c>
      <c r="F9" s="19">
        <v>67.65</v>
      </c>
      <c r="G9" s="19">
        <v>2</v>
      </c>
      <c r="H9" s="19">
        <v>78.4</v>
      </c>
      <c r="I9" s="20">
        <v>0.572916666666667</v>
      </c>
      <c r="J9" s="19">
        <v>5</v>
      </c>
      <c r="K9" s="19" t="s">
        <v>43</v>
      </c>
      <c r="L9" s="21" t="s">
        <v>44</v>
      </c>
      <c r="M9" s="21">
        <v>11.24</v>
      </c>
      <c r="N9" s="21">
        <v>7.89</v>
      </c>
      <c r="O9" s="21" t="s">
        <v>45</v>
      </c>
    </row>
    <row r="10" spans="1:37">
      <c r="A10" s="18">
        <v>45592</v>
      </c>
      <c r="B10" s="19" t="s">
        <v>37</v>
      </c>
      <c r="C10" s="19" t="s">
        <v>46</v>
      </c>
      <c r="D10" s="19" t="s">
        <v>21</v>
      </c>
      <c r="E10" s="19" t="s">
        <v>21</v>
      </c>
      <c r="F10" s="19" t="s">
        <v>21</v>
      </c>
      <c r="G10" s="19" t="s">
        <v>21</v>
      </c>
      <c r="H10" s="19" t="s">
        <v>21</v>
      </c>
      <c r="I10" s="19" t="s">
        <v>21</v>
      </c>
      <c r="J10" s="19" t="s">
        <v>40</v>
      </c>
      <c r="K10" s="19" t="s">
        <v>47</v>
      </c>
      <c r="L10" s="21" t="s">
        <v>48</v>
      </c>
      <c r="M10" s="21" t="s">
        <v>48</v>
      </c>
      <c r="N10" s="21" t="s">
        <v>49</v>
      </c>
      <c r="O10" s="21"/>
    </row>
    <row r="11" spans="1:37">
      <c r="A11" s="18">
        <v>45559</v>
      </c>
      <c r="B11" s="19" t="s">
        <v>50</v>
      </c>
      <c r="C11" s="19" t="s">
        <v>51</v>
      </c>
      <c r="D11" s="19" t="s">
        <v>21</v>
      </c>
      <c r="E11" s="19" t="s">
        <v>21</v>
      </c>
      <c r="F11" s="19" t="s">
        <v>21</v>
      </c>
      <c r="G11" s="19" t="s">
        <v>21</v>
      </c>
      <c r="H11" s="19" t="s">
        <v>21</v>
      </c>
      <c r="I11" s="19" t="s">
        <v>21</v>
      </c>
      <c r="J11" s="19" t="s">
        <v>52</v>
      </c>
      <c r="K11" s="19" t="s">
        <v>53</v>
      </c>
      <c r="L11" s="21" t="s">
        <v>48</v>
      </c>
      <c r="M11" s="21" t="s">
        <v>48</v>
      </c>
      <c r="N11" s="21" t="s">
        <v>54</v>
      </c>
      <c r="O11" s="21"/>
    </row>
    <row r="12" spans="1:37">
      <c r="A12" s="19"/>
      <c r="B12" s="19"/>
      <c r="C12" s="19"/>
      <c r="D12" s="19"/>
      <c r="E12" s="19"/>
      <c r="F12" s="19"/>
      <c r="G12" s="19"/>
      <c r="H12" s="19"/>
      <c r="I12" s="21"/>
      <c r="J12" s="21"/>
      <c r="K12" s="21"/>
      <c r="L12" s="21"/>
      <c r="M12" s="21"/>
      <c r="N12" s="21"/>
      <c r="O12" s="21"/>
    </row>
    <row r="13" ht="20.4" spans="1:37">
      <c r="A13" s="7" t="s">
        <v>55</v>
      </c>
      <c r="B13" s="22" t="s">
        <v>21</v>
      </c>
      <c r="C13" s="22" t="s">
        <v>21</v>
      </c>
      <c r="D13" s="22" t="s">
        <v>21</v>
      </c>
      <c r="E13" s="22" t="s">
        <v>21</v>
      </c>
      <c r="F13" s="22" t="s">
        <v>21</v>
      </c>
      <c r="G13" s="22"/>
      <c r="H13" s="22"/>
      <c r="I13" s="22"/>
      <c r="J13" s="22"/>
      <c r="K13" s="22"/>
      <c r="L13" s="22"/>
      <c r="M13" s="22"/>
      <c r="N13" s="22"/>
      <c r="O13" s="22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</row>
    <row r="14" ht="20.4" spans="1:37">
      <c r="A14" s="7" t="s">
        <v>56</v>
      </c>
      <c r="B14" s="7" t="s">
        <v>57</v>
      </c>
      <c r="C14" s="7" t="s">
        <v>58</v>
      </c>
      <c r="D14" s="7" t="s">
        <v>59</v>
      </c>
      <c r="E14" s="7" t="s">
        <v>60</v>
      </c>
      <c r="F14" s="7" t="s">
        <v>61</v>
      </c>
      <c r="G14" s="7" t="s">
        <v>62</v>
      </c>
      <c r="H14" s="7" t="s">
        <v>63</v>
      </c>
      <c r="I14" s="7" t="s">
        <v>64</v>
      </c>
      <c r="J14" s="7"/>
      <c r="K14" s="7"/>
      <c r="L14" s="7"/>
      <c r="M14" s="7"/>
      <c r="N14" s="7"/>
      <c r="O14" s="7"/>
    </row>
    <row r="15" spans="1:37">
      <c r="A15" s="21">
        <f>COUNTA(A8:A11)</f>
        <v>4</v>
      </c>
      <c r="B15" s="21" t="s">
        <v>65</v>
      </c>
      <c r="C15" s="21" t="s">
        <v>66</v>
      </c>
      <c r="D15" s="21" t="s">
        <v>65</v>
      </c>
      <c r="E15" s="21" t="s">
        <v>67</v>
      </c>
      <c r="F15" s="21" t="s">
        <v>65</v>
      </c>
      <c r="G15" s="21" t="s">
        <v>68</v>
      </c>
      <c r="H15" s="21" t="s">
        <v>69</v>
      </c>
      <c r="I15" s="21" t="s">
        <v>70</v>
      </c>
      <c r="J15" s="21" t="s">
        <v>71</v>
      </c>
      <c r="K15" s="21" t="s">
        <v>72</v>
      </c>
      <c r="L15" s="21" t="s">
        <v>70</v>
      </c>
      <c r="M15" s="21" t="s">
        <v>73</v>
      </c>
      <c r="N15" s="21" t="s">
        <v>72</v>
      </c>
      <c r="O15" s="21" t="s">
        <v>70</v>
      </c>
      <c r="P15" t="s">
        <v>71</v>
      </c>
      <c r="Q15" t="s">
        <v>74</v>
      </c>
      <c r="R15" t="s">
        <v>73</v>
      </c>
      <c r="S15" t="s">
        <v>75</v>
      </c>
      <c r="T15" t="s">
        <v>76</v>
      </c>
    </row>
  </sheetData>
  <mergeCells count="3">
    <mergeCell ref="A1:H1"/>
    <mergeCell ref="B2:D2"/>
    <mergeCell ref="F2:H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6" sqref="A6"/>
    </sheetView>
  </sheetViews>
  <sheetFormatPr defaultColWidth="8.88888888888889" defaultRowHeight="14.4" outlineLevelRow="4"/>
  <sheetData>
    <row r="1" spans="1:1">
      <c r="A1" t="s">
        <v>77</v>
      </c>
    </row>
    <row r="2" spans="1:1">
      <c r="A2" t="s">
        <v>78</v>
      </c>
    </row>
    <row r="3" spans="1:1">
      <c r="A3" t="s">
        <v>79</v>
      </c>
    </row>
    <row r="4" spans="1:1">
      <c r="A4" t="s">
        <v>80</v>
      </c>
    </row>
    <row r="5" spans="1:1">
      <c r="A5" t="s">
        <v>81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潘总</vt:lpstr>
      <vt:lpstr>问答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牛儿</cp:lastModifiedBy>
  <dcterms:created xsi:type="dcterms:W3CDTF">2026-09-13T07:22:00Z</dcterms:created>
  <dcterms:modified xsi:type="dcterms:W3CDTF">2026-09-13T14:04:07Z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F9F00A6C1D994BC4BD7144819E6B0298_13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